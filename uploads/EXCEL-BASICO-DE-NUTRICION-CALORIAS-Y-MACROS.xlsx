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d05465a5edfb8c/Escritorio/"/>
    </mc:Choice>
  </mc:AlternateContent>
  <xr:revisionPtr revIDLastSave="293" documentId="13_ncr:1_{95B042E6-EEAD-594F-9771-55B311C44539}" xr6:coauthVersionLast="47" xr6:coauthVersionMax="47" xr10:uidLastSave="{3C41D15A-AF6B-461F-ABCD-D8D6535F7A68}"/>
  <bookViews>
    <workbookView xWindow="-110" yWindow="-110" windowWidth="19420" windowHeight="10300" firstSheet="1" activeTab="1" xr2:uid="{B665FED8-3652-0C4A-BB56-0FE9F33CC59C}"/>
  </bookViews>
  <sheets>
    <sheet name="TABLAS" sheetId="2" state="hidden" r:id="rId1"/>
    <sheet name="REQUERIMIENTO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5" i="1" l="1"/>
  <c r="B22" i="1" s="1"/>
  <c r="G52" i="1"/>
  <c r="G51" i="1"/>
  <c r="G44" i="1"/>
  <c r="G43" i="1"/>
  <c r="G35" i="1"/>
  <c r="G36" i="1"/>
  <c r="I52" i="1" l="1"/>
  <c r="I51" i="1"/>
  <c r="I44" i="1"/>
  <c r="I43" i="1"/>
  <c r="I36" i="1"/>
  <c r="I35" i="1"/>
  <c r="I45" i="1" l="1"/>
  <c r="I46" i="1" s="1"/>
  <c r="I53" i="1"/>
  <c r="I54" i="1" s="1"/>
  <c r="I37" i="1"/>
  <c r="G37" i="1" s="1"/>
  <c r="G45" i="1" l="1"/>
  <c r="G53" i="1"/>
  <c r="I38" i="1"/>
</calcChain>
</file>

<file path=xl/sharedStrings.xml><?xml version="1.0" encoding="utf-8"?>
<sst xmlns="http://schemas.openxmlformats.org/spreadsheetml/2006/main" count="96" uniqueCount="57">
  <si>
    <t>PASO 1</t>
  </si>
  <si>
    <t>DATOS PERSONALES</t>
  </si>
  <si>
    <t>TABLA - FACTOR NEAT</t>
  </si>
  <si>
    <t xml:space="preserve">Peso </t>
  </si>
  <si>
    <t>kg</t>
  </si>
  <si>
    <t xml:space="preserve">Altura </t>
  </si>
  <si>
    <t>cm</t>
  </si>
  <si>
    <t>Edad</t>
  </si>
  <si>
    <t>años</t>
  </si>
  <si>
    <t>1.2</t>
  </si>
  <si>
    <t>TMB</t>
  </si>
  <si>
    <t>K. Calorías</t>
  </si>
  <si>
    <t>FACTOR NEAT</t>
  </si>
  <si>
    <t>Aplica tu factor NEAT aquí &gt;&gt;</t>
  </si>
  <si>
    <t>PASO 2</t>
  </si>
  <si>
    <t>Proteinas</t>
  </si>
  <si>
    <t>??</t>
  </si>
  <si>
    <t>gramos</t>
  </si>
  <si>
    <t>K. Cal</t>
  </si>
  <si>
    <t>Grasas</t>
  </si>
  <si>
    <t>Carbohidratos</t>
  </si>
  <si>
    <t>Restantes</t>
  </si>
  <si>
    <t>PLUS CALÓRICO</t>
  </si>
  <si>
    <t>DÉFICIT CALÓRICO</t>
  </si>
  <si>
    <t>RESULTADO</t>
  </si>
  <si>
    <t>Gasto energético diario</t>
  </si>
  <si>
    <t>Rellena los datos</t>
  </si>
  <si>
    <t>Escoge los gramos de cada macronutriente</t>
  </si>
  <si>
    <t>Total gr por día</t>
  </si>
  <si>
    <t>Calorías</t>
  </si>
  <si>
    <t>Cantidad de gr</t>
  </si>
  <si>
    <t>Plus calórico</t>
  </si>
  <si>
    <t>Déficit calórico</t>
  </si>
  <si>
    <t>Calorías totales &gt;&gt;</t>
  </si>
  <si>
    <t>www.saludyfitness.cl</t>
  </si>
  <si>
    <t>Instagram Salud y fitness</t>
  </si>
  <si>
    <t>Instagram Guillermo Varela</t>
  </si>
  <si>
    <t>Paso 1</t>
  </si>
  <si>
    <t>Paso 2</t>
  </si>
  <si>
    <t>Paso 3</t>
  </si>
  <si>
    <t>PÉRDIDA DE GRASA</t>
  </si>
  <si>
    <t>AUMENTO DE MASA MUSCULAR</t>
  </si>
  <si>
    <t>MANTENCIÓN DEL PESO</t>
  </si>
  <si>
    <t>MANTENCIÓN</t>
  </si>
  <si>
    <t>Selecciona los gramos de proteínas y grasas</t>
  </si>
  <si>
    <t>Escoge tu objetivo (mantener tu peso, aumentar peso o perder peso), respectivamente</t>
  </si>
  <si>
    <t>Si escoges plus o déficit calórico, escoge las "calorías" del plus o déficit que aplicarás</t>
  </si>
  <si>
    <t>Calorías ¿?</t>
  </si>
  <si>
    <t>Persona con actividad física ligera, con unos 5.000-7.000 pasos diarios. Además, entrena 3-5 veces por semana</t>
  </si>
  <si>
    <t>Persona que tiene un estilo de vida activo, que hace 10.000 pasos diarios. Entrena 3-5 días por semana</t>
  </si>
  <si>
    <t>Persona con un trabajo físico muy exigente, de intensidad elevada y/o que realiza más de 20.000 pasos diarios. Entrena 3-5 vece por semana</t>
  </si>
  <si>
    <t>Persona con un trabajo demandante y/o que realiza más de 15.000 pasos diarios. Entrena 3-5 veces por semana</t>
  </si>
  <si>
    <t>Persona sin ejercicio físico significativo, que se pasa la totalidad del día sentado. Entrena 3-5 veces por semana</t>
  </si>
  <si>
    <t>Escoge uno de los dígitos que se asemeje a tu nivel de actividad física según estas descripciones y selecciónalo en la tabla "factor neat"</t>
  </si>
  <si>
    <t>CALCULADORA DE REQUERIMIENTOS NUTRICIONALES</t>
  </si>
  <si>
    <t>Ir a mi cuenta</t>
  </si>
  <si>
    <t>Recuerda que tienes un video tutorial de uso del excel en tu cuenta, en nuestra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</si>
</sst>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color theme="0"/>
      <name val="Roboto"/>
    </font>
    <font>
      <sz val="10"/>
      <color theme="0"/>
      <name val="Roboto"/>
    </font>
    <font>
      <sz val="10"/>
      <color theme="1"/>
      <name val="Roboto"/>
    </font>
    <font>
      <b/>
      <sz val="15"/>
      <color theme="0"/>
      <name val="Roboto"/>
    </font>
    <font>
      <b/>
      <sz val="15"/>
      <color theme="1" tint="0.499984740745262"/>
      <name val="Roboto"/>
    </font>
    <font>
      <sz val="7"/>
      <color theme="0"/>
      <name val="Roboto"/>
    </font>
    <font>
      <sz val="8"/>
      <color theme="1"/>
      <name val="Roboto"/>
    </font>
    <font>
      <b/>
      <sz val="10"/>
      <color theme="1" tint="0.499984740745262"/>
      <name val="Roboto"/>
    </font>
    <font>
      <sz val="10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8"/>
      <color theme="1" tint="0.499984740745262"/>
      <name val="Roboto"/>
    </font>
    <font>
      <b/>
      <sz val="8"/>
      <color theme="0"/>
      <name val="Roboto"/>
    </font>
    <font>
      <sz val="8"/>
      <color rgb="FFD082FF"/>
      <name val="Roboto"/>
    </font>
    <font>
      <sz val="8"/>
      <color theme="0"/>
      <name val="Roboto Light"/>
    </font>
    <font>
      <sz val="8"/>
      <color theme="0"/>
      <name val="Roboto Thin"/>
    </font>
  </fonts>
  <fills count="10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89999084444715716"/>
        <bgColor indexed="64"/>
      </patternFill>
    </fill>
  </fills>
  <borders count="11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/>
      <bottom style="thin">
        <color theme="0" tint="-0.499984740745262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4">
    <xf numFmtId="0" fontId="0" fillId="0" borderId="0" xfId="0"/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8" fillId="3" borderId="0" xfId="0" applyFont="1" applyFill="1" applyAlignment="1">
      <alignment horizontal="center" vertical="center"/>
    </xf>
    <xf numFmtId="0" fontId="10" fillId="2" borderId="0" xfId="0" applyFont="1" applyFill="1" applyProtection="1">
      <protection locked="0"/>
    </xf>
    <xf numFmtId="0" fontId="4" fillId="6" borderId="0" xfId="0" applyFont="1" applyFill="1" applyProtection="1">
      <protection locked="0"/>
    </xf>
    <xf numFmtId="0" fontId="0" fillId="6" borderId="0" xfId="0" applyFill="1" applyProtection="1">
      <protection locked="0"/>
    </xf>
    <xf numFmtId="0" fontId="10" fillId="6" borderId="0" xfId="0" applyFont="1" applyFill="1" applyProtection="1">
      <protection locked="0"/>
    </xf>
    <xf numFmtId="0" fontId="2" fillId="6" borderId="0" xfId="0" applyFont="1" applyFill="1" applyAlignment="1" applyProtection="1">
      <alignment horizontal="center" vertical="center"/>
      <protection locked="0"/>
    </xf>
    <xf numFmtId="0" fontId="3" fillId="6" borderId="0" xfId="0" applyFont="1" applyFill="1" applyAlignment="1" applyProtection="1">
      <alignment horizontal="center" vertical="center"/>
      <protection locked="0"/>
    </xf>
    <xf numFmtId="0" fontId="2" fillId="6" borderId="1" xfId="0" applyFont="1" applyFill="1" applyBorder="1" applyAlignment="1" applyProtection="1">
      <alignment horizontal="center" vertical="center"/>
      <protection locked="0"/>
    </xf>
    <xf numFmtId="0" fontId="8" fillId="6" borderId="0" xfId="0" applyFont="1" applyFill="1" applyProtection="1">
      <protection locked="0"/>
    </xf>
    <xf numFmtId="0" fontId="12" fillId="6" borderId="0" xfId="0" applyFont="1" applyFill="1" applyAlignment="1" applyProtection="1">
      <alignment vertical="center" wrapText="1"/>
      <protection locked="0"/>
    </xf>
    <xf numFmtId="0" fontId="6" fillId="6" borderId="0" xfId="0" applyFont="1" applyFill="1" applyAlignment="1" applyProtection="1">
      <alignment vertical="center" wrapText="1"/>
      <protection locked="0"/>
    </xf>
    <xf numFmtId="0" fontId="13" fillId="6" borderId="0" xfId="0" applyFont="1" applyFill="1" applyAlignment="1" applyProtection="1">
      <alignment vertical="center" wrapText="1"/>
      <protection locked="0"/>
    </xf>
    <xf numFmtId="0" fontId="9" fillId="6" borderId="0" xfId="0" applyFont="1" applyFill="1" applyAlignment="1" applyProtection="1">
      <alignment vertical="center" wrapText="1"/>
      <protection locked="0"/>
    </xf>
    <xf numFmtId="0" fontId="6" fillId="6" borderId="0" xfId="0" applyFont="1" applyFill="1" applyAlignment="1" applyProtection="1">
      <alignment horizontal="center" vertical="center" wrapText="1"/>
      <protection locked="0"/>
    </xf>
    <xf numFmtId="0" fontId="2" fillId="8" borderId="1" xfId="0" applyFont="1" applyFill="1" applyBorder="1" applyAlignment="1">
      <alignment horizontal="center" vertical="center"/>
    </xf>
    <xf numFmtId="1" fontId="2" fillId="7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" fontId="2" fillId="8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 applyProtection="1">
      <alignment horizontal="center" vertical="center"/>
      <protection hidden="1"/>
    </xf>
    <xf numFmtId="1" fontId="2" fillId="6" borderId="1" xfId="0" applyNumberFormat="1" applyFont="1" applyFill="1" applyBorder="1" applyAlignment="1" applyProtection="1">
      <alignment horizontal="center" vertical="center"/>
      <protection hidden="1"/>
    </xf>
    <xf numFmtId="0" fontId="2" fillId="7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9" borderId="1" xfId="0" applyFont="1" applyFill="1" applyBorder="1" applyAlignment="1" applyProtection="1">
      <alignment horizontal="center" vertical="center"/>
      <protection locked="0"/>
    </xf>
    <xf numFmtId="0" fontId="2" fillId="9" borderId="1" xfId="0" applyFont="1" applyFill="1" applyBorder="1" applyAlignment="1">
      <alignment horizontal="center" vertical="center"/>
    </xf>
    <xf numFmtId="1" fontId="2" fillId="9" borderId="1" xfId="0" applyNumberFormat="1" applyFont="1" applyFill="1" applyBorder="1" applyAlignment="1" applyProtection="1">
      <alignment horizontal="right" vertical="center" indent="1"/>
      <protection hidden="1"/>
    </xf>
    <xf numFmtId="0" fontId="2" fillId="5" borderId="1" xfId="0" applyFont="1" applyFill="1" applyBorder="1" applyAlignment="1">
      <alignment horizontal="left" vertical="center" indent="1"/>
    </xf>
    <xf numFmtId="1" fontId="2" fillId="5" borderId="1" xfId="0" applyNumberFormat="1" applyFont="1" applyFill="1" applyBorder="1" applyAlignment="1" applyProtection="1">
      <alignment horizontal="right" vertical="center" indent="1"/>
      <protection hidden="1"/>
    </xf>
    <xf numFmtId="1" fontId="2" fillId="7" borderId="1" xfId="0" applyNumberFormat="1" applyFont="1" applyFill="1" applyBorder="1" applyAlignment="1" applyProtection="1">
      <alignment horizontal="center" vertical="center"/>
      <protection hidden="1"/>
    </xf>
    <xf numFmtId="0" fontId="2" fillId="7" borderId="1" xfId="0" applyFont="1" applyFill="1" applyBorder="1" applyAlignment="1">
      <alignment horizontal="center" vertical="center"/>
    </xf>
    <xf numFmtId="1" fontId="2" fillId="7" borderId="2" xfId="0" applyNumberFormat="1" applyFont="1" applyFill="1" applyBorder="1" applyAlignment="1" applyProtection="1">
      <alignment horizontal="center" vertical="center"/>
      <protection hidden="1"/>
    </xf>
    <xf numFmtId="0" fontId="2" fillId="7" borderId="3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 indent="1"/>
    </xf>
    <xf numFmtId="2" fontId="7" fillId="9" borderId="1" xfId="0" applyNumberFormat="1" applyFont="1" applyFill="1" applyBorder="1" applyAlignment="1" applyProtection="1">
      <alignment horizontal="center" vertical="center"/>
      <protection locked="0"/>
    </xf>
    <xf numFmtId="164" fontId="7" fillId="9" borderId="1" xfId="0" applyNumberFormat="1" applyFont="1" applyFill="1" applyBorder="1" applyAlignment="1">
      <alignment horizontal="left" vertical="center" wrapText="1" indent="1"/>
    </xf>
    <xf numFmtId="0" fontId="2" fillId="7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15" fillId="6" borderId="10" xfId="0" applyFont="1" applyFill="1" applyBorder="1" applyAlignment="1" applyProtection="1">
      <alignment horizontal="center" vertical="center"/>
      <protection locked="0"/>
    </xf>
    <xf numFmtId="0" fontId="16" fillId="6" borderId="8" xfId="0" applyFont="1" applyFill="1" applyBorder="1" applyAlignment="1" applyProtection="1">
      <alignment horizontal="center" vertical="center"/>
      <protection hidden="1"/>
    </xf>
    <xf numFmtId="0" fontId="16" fillId="9" borderId="8" xfId="1" applyFont="1" applyFill="1" applyBorder="1" applyAlignment="1" applyProtection="1">
      <alignment horizontal="center" vertical="center"/>
      <protection hidden="1"/>
    </xf>
    <xf numFmtId="0" fontId="2" fillId="9" borderId="5" xfId="0" applyFont="1" applyFill="1" applyBorder="1" applyAlignment="1">
      <alignment horizontal="right" vertical="center" indent="1"/>
    </xf>
    <xf numFmtId="0" fontId="2" fillId="9" borderId="6" xfId="0" applyFont="1" applyFill="1" applyBorder="1" applyAlignment="1">
      <alignment horizontal="right" vertical="center" indent="1"/>
    </xf>
    <xf numFmtId="0" fontId="2" fillId="9" borderId="7" xfId="0" applyFont="1" applyFill="1" applyBorder="1" applyAlignment="1">
      <alignment horizontal="right" vertical="center" indent="1"/>
    </xf>
    <xf numFmtId="0" fontId="2" fillId="5" borderId="1" xfId="0" applyFont="1" applyFill="1" applyBorder="1" applyAlignment="1">
      <alignment horizontal="left" vertical="center" indent="1"/>
    </xf>
    <xf numFmtId="0" fontId="2" fillId="7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right" vertical="center" indent="1"/>
    </xf>
    <xf numFmtId="1" fontId="2" fillId="7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 applyProtection="1">
      <alignment horizontal="center" vertical="center"/>
      <protection locked="0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 applyProtection="1">
      <alignment horizontal="center" vertical="center"/>
      <protection locked="0"/>
    </xf>
    <xf numFmtId="0" fontId="2" fillId="9" borderId="1" xfId="1" applyFont="1" applyFill="1" applyBorder="1" applyAlignment="1" applyProtection="1">
      <alignment horizontal="center" vertical="center" wrapText="1"/>
    </xf>
    <xf numFmtId="164" fontId="7" fillId="5" borderId="1" xfId="0" applyNumberFormat="1" applyFont="1" applyFill="1" applyBorder="1" applyAlignment="1">
      <alignment horizontal="left" vertical="center" wrapText="1" indent="1"/>
    </xf>
    <xf numFmtId="0" fontId="11" fillId="9" borderId="1" xfId="1" applyFont="1" applyFill="1" applyBorder="1" applyAlignment="1" applyProtection="1">
      <alignment horizontal="center" vertical="center"/>
    </xf>
    <xf numFmtId="164" fontId="2" fillId="9" borderId="1" xfId="0" applyNumberFormat="1" applyFont="1" applyFill="1" applyBorder="1" applyAlignment="1">
      <alignment horizontal="left" vertical="center" indent="1"/>
    </xf>
    <xf numFmtId="3" fontId="14" fillId="9" borderId="1" xfId="0" applyNumberFormat="1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D08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1893413</xdr:colOff>
      <xdr:row>12</xdr:row>
      <xdr:rowOff>0</xdr:rowOff>
    </xdr:from>
    <xdr:ext cx="65" cy="172227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D59D15B-0186-C74F-844F-745ED4B73FBD}"/>
            </a:ext>
          </a:extLst>
        </xdr:cNvPr>
        <xdr:cNvSpPr txBox="1"/>
      </xdr:nvSpPr>
      <xdr:spPr>
        <a:xfrm>
          <a:off x="1144113" y="2679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ES_tradnl" sz="1100"/>
        </a:p>
      </xdr:txBody>
    </xdr:sp>
    <xdr:clientData/>
  </xdr:oneCellAnchor>
  <xdr:oneCellAnchor>
    <xdr:from>
      <xdr:col>1</xdr:col>
      <xdr:colOff>1893413</xdr:colOff>
      <xdr:row>12</xdr:row>
      <xdr:rowOff>0</xdr:rowOff>
    </xdr:from>
    <xdr:ext cx="65" cy="172227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9DBE7834-A575-104F-B822-EF049E242225}"/>
            </a:ext>
          </a:extLst>
        </xdr:cNvPr>
        <xdr:cNvSpPr txBox="1"/>
      </xdr:nvSpPr>
      <xdr:spPr>
        <a:xfrm>
          <a:off x="1144113" y="2679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ES_tradnl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guillevarelaaa/" TargetMode="External"/><Relationship Id="rId2" Type="http://schemas.openxmlformats.org/officeDocument/2006/relationships/hyperlink" Target="https://www.instagram.com/saludyfitness.cl/" TargetMode="External"/><Relationship Id="rId1" Type="http://schemas.openxmlformats.org/officeDocument/2006/relationships/hyperlink" Target="http://www.saludyfitness.cl/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www.saludyfitness.cl/mi-cuent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E6830-1522-8D4E-8D77-459D9B20DBC8}">
  <dimension ref="B1:E17"/>
  <sheetViews>
    <sheetView zoomScale="274" workbookViewId="0">
      <selection activeCell="D15" sqref="D15"/>
    </sheetView>
  </sheetViews>
  <sheetFormatPr baseColWidth="10" defaultColWidth="10.83203125" defaultRowHeight="15.5" x14ac:dyDescent="0.35"/>
  <cols>
    <col min="1" max="1" width="1" style="3" customWidth="1"/>
    <col min="2" max="2" width="21.83203125" style="4" customWidth="1"/>
    <col min="3" max="16384" width="10.83203125" style="3"/>
  </cols>
  <sheetData>
    <row r="1" spans="2:5" ht="5" customHeight="1" x14ac:dyDescent="0.35"/>
    <row r="2" spans="2:5" x14ac:dyDescent="0.35">
      <c r="B2" s="24" t="s">
        <v>13</v>
      </c>
      <c r="C2" s="24" t="s">
        <v>15</v>
      </c>
      <c r="D2" s="24" t="s">
        <v>19</v>
      </c>
      <c r="E2" s="24" t="s">
        <v>47</v>
      </c>
    </row>
    <row r="3" spans="2:5" x14ac:dyDescent="0.35">
      <c r="B3" s="25">
        <v>1.2</v>
      </c>
      <c r="C3" s="25" t="s">
        <v>16</v>
      </c>
      <c r="D3" s="25" t="s">
        <v>16</v>
      </c>
      <c r="E3" s="25">
        <v>200</v>
      </c>
    </row>
    <row r="4" spans="2:5" x14ac:dyDescent="0.35">
      <c r="B4" s="25">
        <v>1.375</v>
      </c>
      <c r="C4" s="25">
        <v>1.2</v>
      </c>
      <c r="D4" s="25">
        <v>0.6</v>
      </c>
      <c r="E4" s="25">
        <v>300</v>
      </c>
    </row>
    <row r="5" spans="2:5" x14ac:dyDescent="0.35">
      <c r="B5" s="25">
        <v>1.55</v>
      </c>
      <c r="C5" s="25">
        <v>1.3</v>
      </c>
      <c r="D5" s="25">
        <v>0.7</v>
      </c>
      <c r="E5" s="25">
        <v>400</v>
      </c>
    </row>
    <row r="6" spans="2:5" x14ac:dyDescent="0.35">
      <c r="B6" s="25">
        <v>1.7250000000000001</v>
      </c>
      <c r="C6" s="25">
        <v>1.4</v>
      </c>
      <c r="D6" s="25">
        <v>0.8</v>
      </c>
      <c r="E6" s="25">
        <v>500</v>
      </c>
    </row>
    <row r="7" spans="2:5" x14ac:dyDescent="0.35">
      <c r="B7" s="25">
        <v>1.9</v>
      </c>
      <c r="C7" s="25">
        <v>1.5</v>
      </c>
      <c r="D7" s="25">
        <v>0.9</v>
      </c>
      <c r="E7" s="25">
        <v>600</v>
      </c>
    </row>
    <row r="8" spans="2:5" x14ac:dyDescent="0.35">
      <c r="C8" s="25">
        <v>1.6</v>
      </c>
      <c r="D8" s="25">
        <v>1</v>
      </c>
      <c r="E8" s="25">
        <v>700</v>
      </c>
    </row>
    <row r="9" spans="2:5" x14ac:dyDescent="0.35">
      <c r="C9" s="25">
        <v>1.7</v>
      </c>
      <c r="D9" s="25">
        <v>1.1000000000000001</v>
      </c>
    </row>
    <row r="10" spans="2:5" x14ac:dyDescent="0.35">
      <c r="C10" s="25">
        <v>1.8</v>
      </c>
      <c r="D10" s="25">
        <v>1.2</v>
      </c>
    </row>
    <row r="11" spans="2:5" x14ac:dyDescent="0.35">
      <c r="C11" s="25">
        <v>1.9</v>
      </c>
      <c r="D11" s="25">
        <v>1.3</v>
      </c>
    </row>
    <row r="12" spans="2:5" x14ac:dyDescent="0.35">
      <c r="C12" s="25">
        <v>2</v>
      </c>
    </row>
    <row r="13" spans="2:5" x14ac:dyDescent="0.35">
      <c r="C13" s="25">
        <v>2.1</v>
      </c>
    </row>
    <row r="14" spans="2:5" x14ac:dyDescent="0.35">
      <c r="C14" s="25">
        <v>2.2000000000000002</v>
      </c>
    </row>
    <row r="15" spans="2:5" x14ac:dyDescent="0.35">
      <c r="C15" s="25">
        <v>2.2999999999999998</v>
      </c>
    </row>
    <row r="16" spans="2:5" x14ac:dyDescent="0.35">
      <c r="C16" s="25">
        <v>2.4</v>
      </c>
    </row>
    <row r="17" spans="3:3" x14ac:dyDescent="0.35">
      <c r="C17" s="25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FF4AF-499C-1343-A2F9-8F1CCCAF3A4C}">
  <dimension ref="A1:KI54"/>
  <sheetViews>
    <sheetView showGridLines="0" showRowColHeaders="0" tabSelected="1" topLeftCell="A43" zoomScale="104" zoomScaleNormal="104" workbookViewId="0">
      <selection activeCell="M53" sqref="M53"/>
    </sheetView>
  </sheetViews>
  <sheetFormatPr baseColWidth="10" defaultColWidth="10.83203125" defaultRowHeight="15.5" x14ac:dyDescent="0.35"/>
  <cols>
    <col min="1" max="1" width="0.83203125" style="9" customWidth="1"/>
    <col min="2" max="2" width="10" style="9" customWidth="1"/>
    <col min="3" max="3" width="6.5" style="9" customWidth="1"/>
    <col min="4" max="5" width="5" style="9" customWidth="1"/>
    <col min="6" max="6" width="10" style="9" customWidth="1"/>
    <col min="7" max="8" width="10" style="10" customWidth="1"/>
    <col min="9" max="10" width="5.83203125" style="10" customWidth="1"/>
    <col min="11" max="11" width="0.83203125" style="10" customWidth="1"/>
    <col min="12" max="12" width="13.33203125" style="12" customWidth="1"/>
    <col min="13" max="16" width="10.83203125" style="6"/>
    <col min="17" max="150" width="10.83203125" style="7"/>
    <col min="151" max="295" width="10.83203125" style="1"/>
    <col min="296" max="16384" width="10.83203125" style="2"/>
  </cols>
  <sheetData>
    <row r="1" spans="1:150" s="1" customFormat="1" ht="5" customHeight="1" x14ac:dyDescent="0.35">
      <c r="A1" s="9"/>
      <c r="B1" s="9"/>
      <c r="C1" s="9"/>
      <c r="D1" s="9"/>
      <c r="E1" s="9"/>
      <c r="F1" s="9"/>
      <c r="G1" s="10"/>
      <c r="H1" s="10"/>
      <c r="I1" s="10"/>
      <c r="J1" s="10"/>
      <c r="K1" s="10"/>
      <c r="L1" s="12"/>
      <c r="M1" s="6"/>
      <c r="N1" s="6"/>
      <c r="O1" s="6"/>
      <c r="P1" s="6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</row>
    <row r="2" spans="1:150" s="1" customFormat="1" ht="16" customHeight="1" x14ac:dyDescent="0.35">
      <c r="A2" s="9"/>
      <c r="B2" s="56" t="s">
        <v>54</v>
      </c>
      <c r="C2" s="57"/>
      <c r="D2" s="57"/>
      <c r="E2" s="57"/>
      <c r="F2" s="57"/>
      <c r="G2" s="57"/>
      <c r="H2" s="57"/>
      <c r="I2" s="57"/>
      <c r="J2" s="57"/>
      <c r="K2" s="10"/>
      <c r="L2" s="12"/>
      <c r="M2" s="6"/>
      <c r="N2" s="6"/>
      <c r="O2" s="6"/>
      <c r="P2" s="6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</row>
    <row r="3" spans="1:150" s="1" customFormat="1" ht="16" customHeight="1" x14ac:dyDescent="0.35">
      <c r="A3" s="9"/>
      <c r="B3" s="57"/>
      <c r="C3" s="57"/>
      <c r="D3" s="57"/>
      <c r="E3" s="57"/>
      <c r="F3" s="57"/>
      <c r="G3" s="57"/>
      <c r="H3" s="57"/>
      <c r="I3" s="57"/>
      <c r="J3" s="57"/>
      <c r="K3" s="10"/>
      <c r="L3" s="13"/>
      <c r="M3" s="14"/>
      <c r="N3" s="14"/>
      <c r="O3" s="14"/>
      <c r="P3" s="14"/>
      <c r="Q3" s="14"/>
      <c r="R3" s="14"/>
      <c r="S3" s="14"/>
      <c r="T3" s="14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</row>
    <row r="4" spans="1:150" s="5" customFormat="1" ht="16" customHeight="1" x14ac:dyDescent="0.3">
      <c r="A4" s="10"/>
      <c r="B4" s="61" t="s">
        <v>36</v>
      </c>
      <c r="C4" s="61"/>
      <c r="D4" s="61"/>
      <c r="E4" s="59" t="s">
        <v>34</v>
      </c>
      <c r="F4" s="59"/>
      <c r="G4" s="59"/>
      <c r="H4" s="61" t="s">
        <v>35</v>
      </c>
      <c r="I4" s="61"/>
      <c r="J4" s="61"/>
      <c r="K4" s="9"/>
      <c r="L4" s="15"/>
      <c r="M4" s="16"/>
      <c r="N4" s="16"/>
      <c r="O4" s="16"/>
      <c r="P4" s="16"/>
      <c r="Q4" s="16"/>
      <c r="R4" s="16"/>
      <c r="S4" s="16"/>
      <c r="T4" s="16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</row>
    <row r="5" spans="1:150" s="1" customFormat="1" ht="15" customHeight="1" x14ac:dyDescent="0.35">
      <c r="A5" s="9"/>
      <c r="B5" s="17"/>
      <c r="C5" s="17"/>
      <c r="D5" s="17"/>
      <c r="E5" s="17"/>
      <c r="F5" s="17"/>
      <c r="G5" s="17"/>
      <c r="H5" s="17"/>
      <c r="I5" s="17"/>
      <c r="J5" s="17"/>
      <c r="K5" s="10"/>
      <c r="L5" s="13"/>
      <c r="M5" s="14"/>
      <c r="N5" s="14"/>
      <c r="O5" s="14"/>
      <c r="P5" s="14"/>
      <c r="Q5" s="14"/>
      <c r="R5" s="14"/>
      <c r="S5" s="14"/>
      <c r="T5" s="14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</row>
    <row r="6" spans="1:150" ht="16" customHeight="1" x14ac:dyDescent="0.35">
      <c r="B6" s="43" t="s">
        <v>0</v>
      </c>
      <c r="C6" s="43"/>
      <c r="D6" s="43"/>
      <c r="E6" s="43"/>
      <c r="F6" s="43"/>
      <c r="G6" s="43"/>
      <c r="H6" s="43"/>
      <c r="I6" s="43"/>
      <c r="J6" s="43"/>
    </row>
    <row r="7" spans="1:150" ht="16" customHeight="1" x14ac:dyDescent="0.35">
      <c r="B7" s="43"/>
      <c r="C7" s="43"/>
      <c r="D7" s="43"/>
      <c r="E7" s="43"/>
      <c r="F7" s="43"/>
      <c r="G7" s="43"/>
      <c r="H7" s="43"/>
      <c r="I7" s="43"/>
      <c r="J7" s="43"/>
    </row>
    <row r="8" spans="1:150" ht="16" customHeight="1" x14ac:dyDescent="0.35">
      <c r="B8" s="41" t="s">
        <v>26</v>
      </c>
      <c r="C8" s="41"/>
      <c r="D8" s="41"/>
      <c r="E8" s="41"/>
      <c r="F8" s="41"/>
      <c r="G8" s="41"/>
      <c r="H8" s="41"/>
      <c r="I8" s="41"/>
      <c r="J8" s="41"/>
    </row>
    <row r="9" spans="1:150" ht="15" customHeight="1" x14ac:dyDescent="0.35">
      <c r="B9" s="7"/>
      <c r="C9" s="7"/>
      <c r="D9" s="7"/>
    </row>
    <row r="10" spans="1:150" ht="20" customHeight="1" x14ac:dyDescent="0.35">
      <c r="B10" s="58" t="s">
        <v>1</v>
      </c>
      <c r="C10" s="58"/>
      <c r="D10" s="58"/>
      <c r="F10" s="40" t="s">
        <v>2</v>
      </c>
      <c r="G10" s="40"/>
      <c r="H10" s="40"/>
      <c r="I10" s="40"/>
      <c r="J10" s="40"/>
    </row>
    <row r="11" spans="1:150" ht="16" customHeight="1" x14ac:dyDescent="0.35">
      <c r="B11" s="29" t="s">
        <v>3</v>
      </c>
      <c r="C11" s="26">
        <v>90.3</v>
      </c>
      <c r="D11" s="27" t="s">
        <v>4</v>
      </c>
      <c r="F11" s="60" t="s">
        <v>53</v>
      </c>
      <c r="G11" s="60"/>
      <c r="H11" s="60"/>
      <c r="I11" s="60"/>
      <c r="J11" s="60"/>
    </row>
    <row r="12" spans="1:150" ht="16" customHeight="1" x14ac:dyDescent="0.35">
      <c r="B12" s="29" t="s">
        <v>5</v>
      </c>
      <c r="C12" s="26">
        <v>175</v>
      </c>
      <c r="D12" s="27" t="s">
        <v>6</v>
      </c>
      <c r="F12" s="60"/>
      <c r="G12" s="60"/>
      <c r="H12" s="60"/>
      <c r="I12" s="60"/>
      <c r="J12" s="60"/>
    </row>
    <row r="13" spans="1:150" ht="16" customHeight="1" x14ac:dyDescent="0.35">
      <c r="B13" s="29" t="s">
        <v>7</v>
      </c>
      <c r="C13" s="26">
        <v>25</v>
      </c>
      <c r="D13" s="27" t="s">
        <v>8</v>
      </c>
      <c r="F13" s="39" t="s">
        <v>52</v>
      </c>
      <c r="G13" s="39"/>
      <c r="H13" s="39"/>
      <c r="I13" s="39"/>
      <c r="J13" s="36" t="s">
        <v>9</v>
      </c>
    </row>
    <row r="14" spans="1:150" ht="16" customHeight="1" x14ac:dyDescent="0.35">
      <c r="B14" s="40" t="s">
        <v>10</v>
      </c>
      <c r="C14" s="40"/>
      <c r="D14" s="40"/>
      <c r="F14" s="39"/>
      <c r="G14" s="39"/>
      <c r="H14" s="39"/>
      <c r="I14" s="39"/>
      <c r="J14" s="36"/>
    </row>
    <row r="15" spans="1:150" ht="16" customHeight="1" x14ac:dyDescent="0.35">
      <c r="B15" s="28">
        <f>10*C11+6.25*C12-5*C13+5</f>
        <v>1876.75</v>
      </c>
      <c r="C15" s="62" t="s">
        <v>11</v>
      </c>
      <c r="D15" s="62"/>
      <c r="F15" s="39" t="s">
        <v>48</v>
      </c>
      <c r="G15" s="39"/>
      <c r="H15" s="39"/>
      <c r="I15" s="39"/>
      <c r="J15" s="63">
        <v>1375</v>
      </c>
    </row>
    <row r="16" spans="1:150" ht="16" customHeight="1" x14ac:dyDescent="0.35">
      <c r="B16" s="40" t="s">
        <v>12</v>
      </c>
      <c r="C16" s="40"/>
      <c r="D16" s="40"/>
      <c r="F16" s="39"/>
      <c r="G16" s="39"/>
      <c r="H16" s="39"/>
      <c r="I16" s="39"/>
      <c r="J16" s="35"/>
    </row>
    <row r="17" spans="2:10" ht="16" customHeight="1" x14ac:dyDescent="0.35">
      <c r="B17" s="38">
        <v>1.375</v>
      </c>
      <c r="C17" s="38"/>
      <c r="D17" s="38"/>
      <c r="F17" s="39" t="s">
        <v>49</v>
      </c>
      <c r="G17" s="39"/>
      <c r="H17" s="39"/>
      <c r="I17" s="39"/>
      <c r="J17" s="35">
        <v>1.55</v>
      </c>
    </row>
    <row r="18" spans="2:10" ht="16" customHeight="1" x14ac:dyDescent="0.35">
      <c r="B18" s="7"/>
      <c r="C18" s="7"/>
      <c r="D18" s="7"/>
      <c r="F18" s="39"/>
      <c r="G18" s="39"/>
      <c r="H18" s="39"/>
      <c r="I18" s="39"/>
      <c r="J18" s="35"/>
    </row>
    <row r="19" spans="2:10" ht="17" customHeight="1" x14ac:dyDescent="0.35">
      <c r="B19" s="40" t="s">
        <v>24</v>
      </c>
      <c r="C19" s="40"/>
      <c r="D19" s="40"/>
      <c r="F19" s="39" t="s">
        <v>51</v>
      </c>
      <c r="G19" s="39"/>
      <c r="H19" s="39"/>
      <c r="I19" s="39"/>
      <c r="J19" s="36">
        <v>1.7250000000000001</v>
      </c>
    </row>
    <row r="20" spans="2:10" x14ac:dyDescent="0.35">
      <c r="B20" s="41" t="s">
        <v>25</v>
      </c>
      <c r="C20" s="41"/>
      <c r="D20" s="41"/>
      <c r="F20" s="39"/>
      <c r="G20" s="39"/>
      <c r="H20" s="39"/>
      <c r="I20" s="39"/>
      <c r="J20" s="36"/>
    </row>
    <row r="21" spans="2:10" ht="16" customHeight="1" x14ac:dyDescent="0.35">
      <c r="B21" s="41"/>
      <c r="C21" s="41"/>
      <c r="D21" s="41"/>
      <c r="F21" s="39" t="s">
        <v>50</v>
      </c>
      <c r="G21" s="39"/>
      <c r="H21" s="39"/>
      <c r="I21" s="39"/>
      <c r="J21" s="35">
        <v>1.9</v>
      </c>
    </row>
    <row r="22" spans="2:10" x14ac:dyDescent="0.35">
      <c r="B22" s="30">
        <f>(B15*B17)</f>
        <v>2580.53125</v>
      </c>
      <c r="C22" s="42" t="s">
        <v>11</v>
      </c>
      <c r="D22" s="42"/>
      <c r="F22" s="39"/>
      <c r="G22" s="39"/>
      <c r="H22" s="39"/>
      <c r="I22" s="39"/>
      <c r="J22" s="35"/>
    </row>
    <row r="23" spans="2:10" ht="15" customHeight="1" x14ac:dyDescent="0.35">
      <c r="B23" s="7"/>
      <c r="C23" s="7"/>
      <c r="D23" s="7"/>
    </row>
    <row r="24" spans="2:10" ht="16" customHeight="1" x14ac:dyDescent="0.35">
      <c r="B24" s="43" t="s">
        <v>14</v>
      </c>
      <c r="C24" s="43"/>
      <c r="D24" s="43"/>
      <c r="E24" s="43"/>
      <c r="F24" s="43"/>
      <c r="G24" s="43"/>
      <c r="H24" s="43"/>
      <c r="I24" s="43"/>
      <c r="J24" s="43"/>
    </row>
    <row r="25" spans="2:10" ht="16" customHeight="1" x14ac:dyDescent="0.35">
      <c r="B25" s="43"/>
      <c r="C25" s="43"/>
      <c r="D25" s="43"/>
      <c r="E25" s="43"/>
      <c r="F25" s="43"/>
      <c r="G25" s="43"/>
      <c r="H25" s="43"/>
      <c r="I25" s="43"/>
      <c r="J25" s="43"/>
    </row>
    <row r="26" spans="2:10" x14ac:dyDescent="0.35">
      <c r="B26" s="44" t="s">
        <v>27</v>
      </c>
      <c r="C26" s="44"/>
      <c r="D26" s="44"/>
      <c r="E26" s="44"/>
      <c r="F26" s="44"/>
      <c r="G26" s="44"/>
      <c r="H26" s="44"/>
      <c r="I26" s="44"/>
      <c r="J26" s="44"/>
    </row>
    <row r="27" spans="2:10" ht="14" customHeight="1" x14ac:dyDescent="0.35">
      <c r="B27" s="46" t="s">
        <v>56</v>
      </c>
      <c r="C27" s="46"/>
      <c r="D27" s="46"/>
      <c r="E27" s="46"/>
      <c r="F27" s="46"/>
      <c r="G27" s="46"/>
      <c r="H27" s="46"/>
      <c r="I27" s="47" t="s">
        <v>55</v>
      </c>
      <c r="J27" s="47"/>
    </row>
    <row r="28" spans="2:10" ht="14" customHeight="1" x14ac:dyDescent="0.35">
      <c r="B28" s="45"/>
      <c r="C28" s="45"/>
      <c r="D28" s="45"/>
      <c r="E28" s="45"/>
      <c r="F28" s="45"/>
      <c r="G28" s="45"/>
      <c r="H28" s="45"/>
      <c r="I28" s="45"/>
      <c r="J28" s="45"/>
    </row>
    <row r="29" spans="2:10" x14ac:dyDescent="0.35">
      <c r="B29" s="18" t="s">
        <v>37</v>
      </c>
      <c r="C29" s="37" t="s">
        <v>45</v>
      </c>
      <c r="D29" s="37"/>
      <c r="E29" s="37"/>
      <c r="F29" s="37"/>
      <c r="G29" s="37"/>
      <c r="H29" s="37"/>
      <c r="I29" s="37"/>
      <c r="J29" s="37"/>
    </row>
    <row r="30" spans="2:10" x14ac:dyDescent="0.35">
      <c r="B30" s="18" t="s">
        <v>38</v>
      </c>
      <c r="C30" s="37" t="s">
        <v>44</v>
      </c>
      <c r="D30" s="37"/>
      <c r="E30" s="37"/>
      <c r="F30" s="37"/>
      <c r="G30" s="37"/>
      <c r="H30" s="37"/>
      <c r="I30" s="37"/>
      <c r="J30" s="37"/>
    </row>
    <row r="31" spans="2:10" x14ac:dyDescent="0.35">
      <c r="B31" s="18" t="s">
        <v>39</v>
      </c>
      <c r="C31" s="37" t="s">
        <v>46</v>
      </c>
      <c r="D31" s="37"/>
      <c r="E31" s="37"/>
      <c r="F31" s="37"/>
      <c r="G31" s="37"/>
      <c r="H31" s="37"/>
      <c r="I31" s="37"/>
      <c r="J31" s="37"/>
    </row>
    <row r="32" spans="2:10" ht="14" customHeight="1" x14ac:dyDescent="0.35">
      <c r="G32" s="9"/>
      <c r="H32" s="9"/>
      <c r="I32" s="9"/>
      <c r="J32" s="9"/>
    </row>
    <row r="33" spans="2:13" x14ac:dyDescent="0.35">
      <c r="B33" s="41" t="s">
        <v>43</v>
      </c>
      <c r="C33" s="41"/>
      <c r="D33" s="41"/>
      <c r="E33" s="41"/>
      <c r="F33" s="41"/>
      <c r="G33" s="41"/>
      <c r="H33" s="41"/>
      <c r="I33" s="41"/>
      <c r="J33" s="41"/>
    </row>
    <row r="34" spans="2:13" x14ac:dyDescent="0.35">
      <c r="B34" s="52" t="s">
        <v>42</v>
      </c>
      <c r="C34" s="52"/>
      <c r="D34" s="52"/>
      <c r="E34" s="52"/>
      <c r="F34" s="19" t="s">
        <v>30</v>
      </c>
      <c r="G34" s="54" t="s">
        <v>28</v>
      </c>
      <c r="H34" s="54"/>
      <c r="I34" s="40" t="s">
        <v>29</v>
      </c>
      <c r="J34" s="40"/>
    </row>
    <row r="35" spans="2:13" x14ac:dyDescent="0.35">
      <c r="B35" s="51" t="s">
        <v>15</v>
      </c>
      <c r="C35" s="51"/>
      <c r="D35" s="51"/>
      <c r="E35" s="51"/>
      <c r="F35" s="11">
        <v>1.8</v>
      </c>
      <c r="G35" s="20">
        <f>F35*C11</f>
        <v>162.54</v>
      </c>
      <c r="H35" s="20" t="s">
        <v>17</v>
      </c>
      <c r="I35" s="22">
        <f>G35*4</f>
        <v>650.16</v>
      </c>
      <c r="J35" s="20" t="s">
        <v>18</v>
      </c>
    </row>
    <row r="36" spans="2:13" x14ac:dyDescent="0.35">
      <c r="B36" s="51" t="s">
        <v>19</v>
      </c>
      <c r="C36" s="51"/>
      <c r="D36" s="51"/>
      <c r="E36" s="51"/>
      <c r="F36" s="11">
        <v>0.9</v>
      </c>
      <c r="G36" s="20">
        <f>F36*C11</f>
        <v>81.27</v>
      </c>
      <c r="H36" s="20" t="s">
        <v>17</v>
      </c>
      <c r="I36" s="22">
        <f>G36*9</f>
        <v>731.43</v>
      </c>
      <c r="J36" s="20" t="s">
        <v>18</v>
      </c>
    </row>
    <row r="37" spans="2:13" x14ac:dyDescent="0.35">
      <c r="B37" s="51" t="s">
        <v>20</v>
      </c>
      <c r="C37" s="51"/>
      <c r="D37" s="51"/>
      <c r="E37" s="51"/>
      <c r="F37" s="20" t="s">
        <v>21</v>
      </c>
      <c r="G37" s="23">
        <f>I37/4</f>
        <v>299.73531250000002</v>
      </c>
      <c r="H37" s="20" t="s">
        <v>17</v>
      </c>
      <c r="I37" s="23">
        <f>B22-(I35+I36)</f>
        <v>1198.9412500000001</v>
      </c>
      <c r="J37" s="20" t="s">
        <v>18</v>
      </c>
    </row>
    <row r="38" spans="2:13" ht="16" customHeight="1" x14ac:dyDescent="0.35">
      <c r="B38" s="48" t="s">
        <v>33</v>
      </c>
      <c r="C38" s="49"/>
      <c r="D38" s="49"/>
      <c r="E38" s="49"/>
      <c r="F38" s="49"/>
      <c r="G38" s="49"/>
      <c r="H38" s="50"/>
      <c r="I38" s="31">
        <f>SUM(I35:I37)</f>
        <v>2580.53125</v>
      </c>
      <c r="J38" s="32" t="s">
        <v>18</v>
      </c>
    </row>
    <row r="39" spans="2:13" ht="15" customHeight="1" x14ac:dyDescent="0.35">
      <c r="M39" s="12"/>
    </row>
    <row r="40" spans="2:13" x14ac:dyDescent="0.35">
      <c r="H40" s="21" t="s">
        <v>31</v>
      </c>
      <c r="I40" s="55">
        <v>200</v>
      </c>
      <c r="J40" s="55"/>
      <c r="M40" s="12"/>
    </row>
    <row r="41" spans="2:13" x14ac:dyDescent="0.35">
      <c r="B41" s="41" t="s">
        <v>22</v>
      </c>
      <c r="C41" s="41"/>
      <c r="D41" s="41"/>
      <c r="E41" s="41"/>
      <c r="F41" s="41"/>
      <c r="G41" s="41"/>
      <c r="H41" s="41"/>
      <c r="I41" s="41"/>
      <c r="J41" s="41"/>
      <c r="M41" s="12"/>
    </row>
    <row r="42" spans="2:13" x14ac:dyDescent="0.35">
      <c r="B42" s="52" t="s">
        <v>41</v>
      </c>
      <c r="C42" s="52"/>
      <c r="D42" s="52"/>
      <c r="E42" s="52"/>
      <c r="F42" s="19" t="s">
        <v>30</v>
      </c>
      <c r="G42" s="54" t="s">
        <v>28</v>
      </c>
      <c r="H42" s="54"/>
      <c r="I42" s="40" t="s">
        <v>29</v>
      </c>
      <c r="J42" s="40"/>
      <c r="M42" s="12"/>
    </row>
    <row r="43" spans="2:13" x14ac:dyDescent="0.35">
      <c r="B43" s="51" t="s">
        <v>15</v>
      </c>
      <c r="C43" s="51"/>
      <c r="D43" s="51"/>
      <c r="E43" s="51"/>
      <c r="F43" s="11">
        <v>2</v>
      </c>
      <c r="G43" s="20">
        <f>F43*C11</f>
        <v>180.6</v>
      </c>
      <c r="H43" s="20" t="s">
        <v>17</v>
      </c>
      <c r="I43" s="22">
        <f>G43*4</f>
        <v>722.4</v>
      </c>
      <c r="J43" s="20" t="s">
        <v>18</v>
      </c>
      <c r="M43" s="12"/>
    </row>
    <row r="44" spans="2:13" x14ac:dyDescent="0.35">
      <c r="B44" s="51" t="s">
        <v>19</v>
      </c>
      <c r="C44" s="51"/>
      <c r="D44" s="51"/>
      <c r="E44" s="51"/>
      <c r="F44" s="11">
        <v>1</v>
      </c>
      <c r="G44" s="20">
        <f>F44*C11</f>
        <v>90.3</v>
      </c>
      <c r="H44" s="20" t="s">
        <v>17</v>
      </c>
      <c r="I44" s="22">
        <f>G44*9</f>
        <v>812.69999999999993</v>
      </c>
      <c r="J44" s="20" t="s">
        <v>18</v>
      </c>
      <c r="M44" s="12"/>
    </row>
    <row r="45" spans="2:13" x14ac:dyDescent="0.35">
      <c r="B45" s="51" t="s">
        <v>20</v>
      </c>
      <c r="C45" s="51"/>
      <c r="D45" s="51"/>
      <c r="E45" s="51"/>
      <c r="F45" s="20" t="s">
        <v>21</v>
      </c>
      <c r="G45" s="23">
        <f>I45/4</f>
        <v>311.35781250000002</v>
      </c>
      <c r="H45" s="20" t="s">
        <v>17</v>
      </c>
      <c r="I45" s="23">
        <f>(B22+I40)-(I43+I44)</f>
        <v>1245.4312500000001</v>
      </c>
      <c r="J45" s="20" t="s">
        <v>18</v>
      </c>
      <c r="M45" s="12"/>
    </row>
    <row r="46" spans="2:13" ht="15" customHeight="1" x14ac:dyDescent="0.35">
      <c r="B46" s="53" t="s">
        <v>33</v>
      </c>
      <c r="C46" s="53"/>
      <c r="D46" s="53"/>
      <c r="E46" s="53"/>
      <c r="F46" s="53"/>
      <c r="G46" s="53"/>
      <c r="H46" s="53"/>
      <c r="I46" s="31">
        <f>SUM(I43:I45)</f>
        <v>2780.53125</v>
      </c>
      <c r="J46" s="32" t="s">
        <v>18</v>
      </c>
      <c r="M46" s="12"/>
    </row>
    <row r="47" spans="2:13" ht="15" customHeight="1" x14ac:dyDescent="0.35">
      <c r="B47" s="10"/>
      <c r="C47" s="10"/>
      <c r="D47" s="10"/>
      <c r="E47" s="10"/>
      <c r="F47" s="10"/>
      <c r="M47" s="12"/>
    </row>
    <row r="48" spans="2:13" x14ac:dyDescent="0.35">
      <c r="B48" s="10"/>
      <c r="C48" s="10"/>
      <c r="D48" s="10"/>
      <c r="E48" s="10"/>
      <c r="F48" s="10"/>
      <c r="H48" s="21" t="s">
        <v>32</v>
      </c>
      <c r="I48" s="55">
        <v>300</v>
      </c>
      <c r="J48" s="55"/>
      <c r="M48" s="12"/>
    </row>
    <row r="49" spans="2:13" x14ac:dyDescent="0.35">
      <c r="B49" s="41" t="s">
        <v>23</v>
      </c>
      <c r="C49" s="41"/>
      <c r="D49" s="41"/>
      <c r="E49" s="41"/>
      <c r="F49" s="41"/>
      <c r="G49" s="41"/>
      <c r="H49" s="41"/>
      <c r="I49" s="41"/>
      <c r="J49" s="41"/>
      <c r="M49" s="12"/>
    </row>
    <row r="50" spans="2:13" x14ac:dyDescent="0.35">
      <c r="B50" s="52" t="s">
        <v>40</v>
      </c>
      <c r="C50" s="52"/>
      <c r="D50" s="52"/>
      <c r="E50" s="52"/>
      <c r="F50" s="19" t="s">
        <v>30</v>
      </c>
      <c r="G50" s="54" t="s">
        <v>28</v>
      </c>
      <c r="H50" s="54"/>
      <c r="I50" s="40" t="s">
        <v>29</v>
      </c>
      <c r="J50" s="40"/>
      <c r="M50" s="12"/>
    </row>
    <row r="51" spans="2:13" x14ac:dyDescent="0.35">
      <c r="B51" s="51" t="s">
        <v>15</v>
      </c>
      <c r="C51" s="51"/>
      <c r="D51" s="51"/>
      <c r="E51" s="51"/>
      <c r="F51" s="11">
        <v>1.7</v>
      </c>
      <c r="G51" s="20">
        <f>F51*C11</f>
        <v>153.51</v>
      </c>
      <c r="H51" s="20" t="s">
        <v>17</v>
      </c>
      <c r="I51" s="22">
        <f>G51*4</f>
        <v>614.04</v>
      </c>
      <c r="J51" s="20" t="s">
        <v>18</v>
      </c>
      <c r="M51" s="12"/>
    </row>
    <row r="52" spans="2:13" x14ac:dyDescent="0.35">
      <c r="B52" s="51" t="s">
        <v>19</v>
      </c>
      <c r="C52" s="51"/>
      <c r="D52" s="51"/>
      <c r="E52" s="51"/>
      <c r="F52" s="11">
        <v>0.9</v>
      </c>
      <c r="G52" s="20">
        <f>F52*C11</f>
        <v>81.27</v>
      </c>
      <c r="H52" s="20" t="s">
        <v>17</v>
      </c>
      <c r="I52" s="22">
        <f>G52*9</f>
        <v>731.43</v>
      </c>
      <c r="J52" s="20" t="s">
        <v>18</v>
      </c>
      <c r="M52" s="12"/>
    </row>
    <row r="53" spans="2:13" x14ac:dyDescent="0.35">
      <c r="B53" s="51" t="s">
        <v>20</v>
      </c>
      <c r="C53" s="51"/>
      <c r="D53" s="51"/>
      <c r="E53" s="51"/>
      <c r="F53" s="20" t="s">
        <v>21</v>
      </c>
      <c r="G53" s="23">
        <f>I53/4</f>
        <v>233.76531250000005</v>
      </c>
      <c r="H53" s="20" t="s">
        <v>17</v>
      </c>
      <c r="I53" s="23">
        <f>(B22-I48)-(I51+I52)</f>
        <v>935.0612500000002</v>
      </c>
      <c r="J53" s="20" t="s">
        <v>18</v>
      </c>
    </row>
    <row r="54" spans="2:13" ht="15" customHeight="1" thickBot="1" x14ac:dyDescent="0.4">
      <c r="B54" s="48" t="s">
        <v>33</v>
      </c>
      <c r="C54" s="49"/>
      <c r="D54" s="49"/>
      <c r="E54" s="49"/>
      <c r="F54" s="49"/>
      <c r="G54" s="49"/>
      <c r="H54" s="50"/>
      <c r="I54" s="33">
        <f>SUM(I51:I53)</f>
        <v>2280.53125</v>
      </c>
      <c r="J54" s="34" t="s">
        <v>18</v>
      </c>
    </row>
  </sheetData>
  <sheetProtection algorithmName="SHA-512" hashValue="CzVba2LZ24S/ptTX3TImSebD2YyQ39kfwcAeXNakeqU3iZXoqzSgk8qzZLfEN7wZjAfjOQkQskZvxwUo1FUBeQ==" saltValue="oK+Cco7WBAHrqPgHv0KZcA==" spinCount="100000" sheet="1" objects="1" scenarios="1"/>
  <mergeCells count="61">
    <mergeCell ref="B16:D16"/>
    <mergeCell ref="B2:J3"/>
    <mergeCell ref="B6:J7"/>
    <mergeCell ref="B8:J8"/>
    <mergeCell ref="B10:D10"/>
    <mergeCell ref="F10:J10"/>
    <mergeCell ref="E4:G4"/>
    <mergeCell ref="F11:J12"/>
    <mergeCell ref="F13:I14"/>
    <mergeCell ref="J13:J14"/>
    <mergeCell ref="B14:D14"/>
    <mergeCell ref="H4:J4"/>
    <mergeCell ref="B4:D4"/>
    <mergeCell ref="C15:D15"/>
    <mergeCell ref="F15:I16"/>
    <mergeCell ref="J15:J16"/>
    <mergeCell ref="I34:J34"/>
    <mergeCell ref="B35:E35"/>
    <mergeCell ref="B36:E36"/>
    <mergeCell ref="B37:E37"/>
    <mergeCell ref="B42:E42"/>
    <mergeCell ref="G42:H42"/>
    <mergeCell ref="B41:J41"/>
    <mergeCell ref="B38:H38"/>
    <mergeCell ref="I40:J40"/>
    <mergeCell ref="I42:J42"/>
    <mergeCell ref="B34:E34"/>
    <mergeCell ref="G34:H34"/>
    <mergeCell ref="B54:H54"/>
    <mergeCell ref="B43:E43"/>
    <mergeCell ref="B44:E44"/>
    <mergeCell ref="B45:E45"/>
    <mergeCell ref="B50:E50"/>
    <mergeCell ref="B49:J49"/>
    <mergeCell ref="B46:H46"/>
    <mergeCell ref="I50:J50"/>
    <mergeCell ref="B51:E51"/>
    <mergeCell ref="B52:E52"/>
    <mergeCell ref="B53:E53"/>
    <mergeCell ref="G50:H50"/>
    <mergeCell ref="I48:J48"/>
    <mergeCell ref="C31:J31"/>
    <mergeCell ref="B33:J33"/>
    <mergeCell ref="B24:J25"/>
    <mergeCell ref="B26:J26"/>
    <mergeCell ref="B28:H28"/>
    <mergeCell ref="I28:J28"/>
    <mergeCell ref="B27:H27"/>
    <mergeCell ref="I27:J27"/>
    <mergeCell ref="J17:J18"/>
    <mergeCell ref="J19:J20"/>
    <mergeCell ref="J21:J22"/>
    <mergeCell ref="C29:J29"/>
    <mergeCell ref="C30:J30"/>
    <mergeCell ref="B17:D17"/>
    <mergeCell ref="F17:I18"/>
    <mergeCell ref="B19:D19"/>
    <mergeCell ref="F19:I20"/>
    <mergeCell ref="B20:D21"/>
    <mergeCell ref="F21:I22"/>
    <mergeCell ref="C22:D22"/>
  </mergeCells>
  <hyperlinks>
    <hyperlink ref="E4" r:id="rId1" xr:uid="{F74FD9AA-999A-994A-A519-9A30FE77E7A8}"/>
    <hyperlink ref="H4:J4" r:id="rId2" display="Instagram salud y fitness" xr:uid="{3814F725-1C3F-C246-B3E4-09BC6C7D4DD3}"/>
    <hyperlink ref="B4:D4" r:id="rId3" display="Insgram Guille" xr:uid="{32F03AF3-5B9F-F346-9B30-AE0FB44BDF97}"/>
    <hyperlink ref="I27:J27" r:id="rId4" display="Ir a mi cuenta" xr:uid="{F7E17659-A946-1244-8B82-2EBF6B4DD3CC}"/>
  </hyperlinks>
  <pageMargins left="0.7" right="0.7" top="0.75" bottom="0.75" header="0.3" footer="0.3"/>
  <drawing r:id="rId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FCD49DA-4E1C-6E44-BE21-5AEC86E2BCFC}">
          <x14:formula1>
            <xm:f>TABLAS!$B$2:$B$15</xm:f>
          </x14:formula1>
          <xm:sqref>B17:D17</xm:sqref>
        </x14:dataValidation>
        <x14:dataValidation type="list" allowBlank="1" showInputMessage="1" showErrorMessage="1" xr:uid="{479CB86A-9A49-EB48-86AC-C96B4B8C6863}">
          <x14:formula1>
            <xm:f>TABLAS!$C$3:$C$17</xm:f>
          </x14:formula1>
          <xm:sqref>F35 F43 F51</xm:sqref>
        </x14:dataValidation>
        <x14:dataValidation type="list" allowBlank="1" showInputMessage="1" showErrorMessage="1" xr:uid="{AD20DC22-1FD0-8948-AA39-A8BA4C4C8213}">
          <x14:formula1>
            <xm:f>TABLAS!$D$3:$D$12</xm:f>
          </x14:formula1>
          <xm:sqref>F36 F44 F52</xm:sqref>
        </x14:dataValidation>
        <x14:dataValidation type="list" allowBlank="1" showInputMessage="1" showErrorMessage="1" xr:uid="{49D7E255-5602-794A-A601-F72194F0AE3F}">
          <x14:formula1>
            <xm:f>TABLAS!$E$2:$E$8</xm:f>
          </x14:formula1>
          <xm:sqref>I40 I48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</vt:lpstr>
      <vt:lpstr>REQUERIMIENTOS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Angélica Pinilla Pizarro</cp:lastModifiedBy>
  <dcterms:created xsi:type="dcterms:W3CDTF">2022-07-23T19:16:34Z</dcterms:created>
  <dcterms:modified xsi:type="dcterms:W3CDTF">2026-05-21T17:32:37Z</dcterms:modified>
</cp:coreProperties>
</file>